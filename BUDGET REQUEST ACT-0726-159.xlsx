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<sst xmlns="http://schemas.openxmlformats.org/spreadsheetml/2006/main" count="36" uniqueCount="35">
  <si>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PIMASCOR – Budget Request &amp; Profit Computation Form</t>
  </si>
  <si>
    <t>Reference Number: ACT-0726-159</t>
  </si>
  <si>
    <r>
      <t>Date:</t>
    </r>
    <r>
      <rPr>
        <sz val="11"/>
        <color theme="1"/>
        <rFont val="Aptos Narrow"/>
        <charset val="134"/>
        <scheme val="minor"/>
      </rPr>
      <t xml:space="preserve"> JULY 3, 2026</t>
    </r>
  </si>
  <si>
    <t>Requested By: CHRISTIAN</t>
  </si>
  <si>
    <r>
      <t>Client/Project:</t>
    </r>
    <r>
      <rPr>
        <sz val="11"/>
        <color theme="1"/>
        <rFont val="Aptos Narrow"/>
        <charset val="134"/>
        <scheme val="minor"/>
      </rPr>
      <t xml:space="preserve"> POLATOM</t>
    </r>
  </si>
  <si>
    <r>
      <rPr>
        <b/>
        <sz val="11"/>
        <color theme="1"/>
        <rFont val="Aptos Narrow"/>
        <charset val="134"/>
        <scheme val="minor"/>
      </rPr>
      <t>Consignee</t>
    </r>
    <r>
      <rPr>
        <sz val="11"/>
        <color theme="1"/>
        <rFont val="Aptos Narrow"/>
        <charset val="134"/>
        <scheme val="minor"/>
      </rPr>
      <t>: ACT</t>
    </r>
  </si>
  <si>
    <t>BL/AWB Number: 176-26817862</t>
  </si>
  <si>
    <t>ETA: JULY 5, 2026</t>
  </si>
  <si>
    <t>Budget &amp; Billing Table</t>
  </si>
  <si>
    <t>Charges</t>
  </si>
  <si>
    <t>Buying Side (Company Expense)</t>
  </si>
  <si>
    <t>Selling Side (Client Billing)</t>
  </si>
  <si>
    <t>Service Fee Adjustment</t>
  </si>
  <si>
    <t>Brokerage Fee</t>
  </si>
  <si>
    <t>Handling (OT)</t>
  </si>
  <si>
    <t>Documentation (OT)</t>
  </si>
  <si>
    <t>Processing Expense (OT)</t>
  </si>
  <si>
    <t>CNIU Clearance (OT)</t>
  </si>
  <si>
    <t>Overtime Releasing (OT)</t>
  </si>
  <si>
    <t>Duties and Taxes</t>
  </si>
  <si>
    <t>Storage</t>
  </si>
  <si>
    <t>Forwarding Charges</t>
  </si>
  <si>
    <t>Shipping Line Charges</t>
  </si>
  <si>
    <t>Trucking</t>
  </si>
  <si>
    <t>Logistics Support Service</t>
  </si>
  <si>
    <t>Transportation</t>
  </si>
  <si>
    <t>Food</t>
  </si>
  <si>
    <t>Summary</t>
  </si>
  <si>
    <r>
      <rPr>
        <b/>
        <sz val="11"/>
        <color theme="1"/>
        <rFont val="Aptos Narrow"/>
        <charset val="134"/>
        <scheme val="minor"/>
      </rPr>
      <t>Total Buying Side (Company Expense):</t>
    </r>
    <r>
      <rPr>
        <sz val="11"/>
        <color theme="1"/>
        <rFont val="Aptos Narrow"/>
        <charset val="134"/>
        <scheme val="minor"/>
      </rPr>
      <t xml:space="preserve"> ₱ </t>
    </r>
  </si>
  <si>
    <r>
      <t>Total Selling Side (Client Billing):</t>
    </r>
    <r>
      <rPr>
        <sz val="11"/>
        <color theme="1"/>
        <rFont val="Aptos Narrow"/>
        <charset val="134"/>
        <scheme val="minor"/>
      </rPr>
      <t xml:space="preserve"> ₱</t>
    </r>
    <r>
      <rPr>
        <b/>
        <sz val="11"/>
        <color theme="1"/>
        <rFont val="Aptos Narrow"/>
        <charset val="134"/>
        <scheme val="minor"/>
      </rPr>
      <t xml:space="preserve"> 72,767.45</t>
    </r>
  </si>
  <si>
    <r>
      <t>Net Profit (Selling – Buying):</t>
    </r>
    <r>
      <rPr>
        <sz val="11"/>
        <color theme="1"/>
        <rFont val="Aptos Narrow"/>
        <charset val="134"/>
        <scheme val="minor"/>
      </rPr>
      <t xml:space="preserve"> ₱ </t>
    </r>
    <r>
      <rPr>
        <b/>
        <sz val="11"/>
        <color theme="1"/>
        <rFont val="Aptos Narrow"/>
        <charset val="134"/>
        <scheme val="minor"/>
      </rPr>
      <t>11,167.45</t>
    </r>
  </si>
  <si>
    <t>Approval Signatures</t>
  </si>
  <si>
    <r>
      <rPr>
        <b/>
        <sz val="11"/>
        <color theme="1"/>
        <rFont val="Aptos Narrow"/>
        <charset val="134"/>
        <scheme val="minor"/>
      </rPr>
      <t>Department Head:</t>
    </r>
    <r>
      <rPr>
        <sz val="11"/>
        <color theme="1"/>
        <rFont val="Aptos Narrow"/>
        <charset val="134"/>
        <scheme val="minor"/>
      </rPr>
      <t xml:space="preserve"> ____________________</t>
    </r>
  </si>
  <si>
    <r>
      <rPr>
        <b/>
        <sz val="11"/>
        <color theme="1"/>
        <rFont val="Aptos Narrow"/>
        <charset val="134"/>
        <scheme val="minor"/>
      </rPr>
      <t>Finance Approval:</t>
    </r>
    <r>
      <rPr>
        <sz val="11"/>
        <color theme="1"/>
        <rFont val="Aptos Narrow"/>
        <charset val="134"/>
        <scheme val="minor"/>
      </rPr>
      <t xml:space="preserve"> ____________________</t>
    </r>
  </si>
  <si>
    <r>
      <rPr>
        <b/>
        <sz val="11"/>
        <color theme="1"/>
        <rFont val="Aptos Narrow"/>
        <charset val="134"/>
        <scheme val="minor"/>
      </rPr>
      <t>General Manager:</t>
    </r>
    <r>
      <rPr>
        <sz val="11"/>
        <color theme="1"/>
        <rFont val="Aptos Narrow"/>
        <charset val="134"/>
        <scheme val="minor"/>
      </rPr>
      <t xml:space="preserve"> ____________________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</si>
</sst>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_);[Red]\(0.00\)"/>
    <numFmt numFmtId="177" formatCode="&quot;₱&quot;#,##0.00_);[Red]\(&quot;₱&quot;#,##0.00\)"/>
  </numFmts>
  <fonts count="24">
    <font>
      <sz val="11"/>
      <color theme="1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2"/>
      <color rgb="FF00000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4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4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06" zoomScaleNormal="106" workbookViewId="0">
      <selection activeCell="A37" sqref="A37"/>
    </sheetView>
  </sheetViews>
  <sheetFormatPr defaultColWidth="9" defaultRowHeight="14.25" outlineLevelCol="2"/>
  <cols>
    <col min="1" max="1" width="20.0916666666667" customWidth="1"/>
    <col min="2" max="2" width="22.875" customWidth="1"/>
    <col min="3" max="3" width="17.0916666666667" customWidth="1"/>
  </cols>
  <sheetData>
    <row r="1" ht="30" spans="1:3">
      <c r="A1" s="1" t="s">
        <v>0</v>
      </c>
    </row>
    <row r="3" ht="15" spans="1:3">
      <c r="A3" s="2" t="s">
        <v>1</v>
      </c>
    </row>
    <row r="4" ht="15" spans="1:3">
      <c r="A4" s="2" t="s">
        <v>2</v>
      </c>
    </row>
    <row r="5" ht="15" spans="1:3">
      <c r="A5" s="2" t="s">
        <v>3</v>
      </c>
    </row>
    <row r="6" ht="15" spans="1:3">
      <c r="A6" s="2" t="s">
        <v>4</v>
      </c>
    </row>
    <row r="7" ht="15" spans="1:3">
      <c r="A7" s="2" t="s">
        <v>5</v>
      </c>
    </row>
    <row r="8" ht="15" spans="1:3">
      <c r="A8" s="2" t="s">
        <v>6</v>
      </c>
    </row>
    <row r="9" ht="15" spans="1:3">
      <c r="A9" s="2" t="s">
        <v>7</v>
      </c>
    </row>
    <row r="10" ht="15" spans="1:3">
      <c r="A10" s="2"/>
    </row>
    <row r="12" ht="17.25" spans="1:3">
      <c r="A12" s="3" t="s">
        <v>8</v>
      </c>
    </row>
    <row r="14" ht="30" spans="1:3">
      <c r="A14" s="4" t="s">
        <v>9</v>
      </c>
      <c r="B14" s="4" t="s">
        <v>10</v>
      </c>
      <c r="C14" s="4" t="s">
        <v>11</v>
      </c>
    </row>
    <row r="15" ht="15" spans="1:3">
      <c r="A15" s="5" t="s">
        <v>12</v>
      </c>
      <c r="B15" s="4"/>
      <c r="C15" s="4"/>
    </row>
    <row r="16" ht="15" spans="1:3">
      <c r="A16" s="6" t="s">
        <v>13</v>
      </c>
      <c r="B16" s="4"/>
      <c r="C16" s="7">
        <v>5467.45</v>
      </c>
    </row>
    <row r="17" spans="1:3">
      <c r="A17" s="8" t="s">
        <v>14</v>
      </c>
      <c r="B17" s="8"/>
      <c r="C17" s="9">
        <v>1500</v>
      </c>
    </row>
    <row r="18" spans="1:3">
      <c r="A18" s="8" t="s">
        <v>15</v>
      </c>
      <c r="B18" s="8"/>
      <c r="C18" s="9">
        <v>2000</v>
      </c>
    </row>
    <row r="19" ht="28.5" spans="1:3">
      <c r="A19" s="8" t="s">
        <v>16</v>
      </c>
      <c r="B19" s="9">
        <v>6000</v>
      </c>
      <c r="C19" s="9">
        <v>5000</v>
      </c>
    </row>
    <row r="20" spans="1:3">
      <c r="A20" s="8" t="s">
        <v>17</v>
      </c>
      <c r="B20" s="10"/>
      <c r="C20" s="9">
        <v>2500</v>
      </c>
    </row>
    <row r="21" ht="28.5" spans="1:3">
      <c r="A21" s="8" t="s">
        <v>18</v>
      </c>
      <c r="B21" s="10"/>
      <c r="C21" s="9">
        <v>1000</v>
      </c>
    </row>
    <row r="22" spans="1:3">
      <c r="A22" s="8" t="s">
        <v>19</v>
      </c>
      <c r="B22" s="9">
        <v>53300</v>
      </c>
      <c r="C22" s="9">
        <v>53300</v>
      </c>
    </row>
    <row r="23" spans="1:3">
      <c r="A23" s="8" t="s">
        <v>20</v>
      </c>
      <c r="B23" s="9">
        <v>2000</v>
      </c>
      <c r="C23" s="9">
        <v>2000</v>
      </c>
    </row>
    <row r="24" spans="1:3">
      <c r="A24" s="8" t="s">
        <v>21</v>
      </c>
      <c r="B24" s="9"/>
      <c r="C24" s="9"/>
    </row>
    <row r="25" spans="1:3">
      <c r="A25" s="8" t="s">
        <v>22</v>
      </c>
      <c r="B25" s="10"/>
      <c r="C25" s="11"/>
    </row>
    <row r="26" spans="1:3">
      <c r="A26" s="8" t="s">
        <v>23</v>
      </c>
      <c r="B26" s="9"/>
      <c r="C26" s="9"/>
    </row>
    <row r="27" ht="28.5" spans="1:3">
      <c r="A27" s="8" t="s">
        <v>24</v>
      </c>
      <c r="B27" s="9"/>
      <c r="C27" s="9"/>
    </row>
    <row r="28" spans="1:3">
      <c r="A28" s="8" t="s">
        <v>25</v>
      </c>
      <c r="B28" s="12">
        <v>150</v>
      </c>
      <c r="C28" s="11"/>
    </row>
    <row r="29" spans="1:3">
      <c r="A29" s="8" t="s">
        <v>26</v>
      </c>
      <c r="B29" s="12">
        <v>150</v>
      </c>
      <c r="C29" s="10"/>
    </row>
    <row r="30" ht="17.25" spans="1:3">
      <c r="A30" s="3" t="s">
        <v>27</v>
      </c>
      <c r="B30" s="13">
        <f>SUM(B19:B29)</f>
        <v>61600</v>
      </c>
      <c r="C30" s="13">
        <f>SUM(C16:C29)</f>
        <v>72767.45</v>
      </c>
    </row>
    <row r="32" ht="17.25" spans="1:3">
      <c r="A32" s="3"/>
    </row>
    <row r="33" spans="1:3">
      <c r="A33" s="14"/>
    </row>
    <row r="34" ht="15" spans="1:3">
      <c r="A34" s="15" t="s">
        <v>28</v>
      </c>
      <c r="C34" s="16">
        <v>61600</v>
      </c>
    </row>
    <row r="35" ht="15" spans="1:3">
      <c r="A35" s="15" t="s">
        <v>29</v>
      </c>
    </row>
    <row r="36" ht="15" spans="1:3">
      <c r="A36" s="15" t="s">
        <v>30</v>
      </c>
    </row>
    <row r="40" ht="17.25" spans="1:3">
      <c r="A40" s="3" t="s">
        <v>31</v>
      </c>
    </row>
    <row r="41" spans="1:3">
      <c r="A41" s="14"/>
    </row>
    <row r="42" ht="15" spans="1:3">
      <c r="A42" s="15" t="s">
        <v>3</v>
      </c>
    </row>
    <row r="43" ht="15" spans="1:3">
      <c r="A43" s="15" t="s">
        <v>32</v>
      </c>
    </row>
    <row r="44" ht="15" spans="1:3">
      <c r="A44" s="15" t="s">
        <v>33</v>
      </c>
    </row>
    <row r="45" ht="15" spans="1:3">
      <c r="A45" s="15" t="s">
        <v>34</v>
      </c>
    </row>
    <row r="50" ht="15.75" spans="1:1">
      <c r="A50" s="17"/>
    </row>
    <row r="51" ht="15.75" spans="1:1">
      <c r="A51" s="17"/>
    </row>
    <row r="52" ht="15.75" spans="1:1">
      <c r="A52" s="17"/>
    </row>
    <row r="54" ht="15.75" spans="1:1">
      <c r="A54" s="1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 Cortejos</dc:creator>
  <cp:lastModifiedBy>PC</cp:lastModifiedBy>
  <dcterms:created xsi:type="dcterms:W3CDTF">2026-02-06T05:20:00Z</dcterms:created>
  <dcterms:modified xsi:type="dcterms:W3CDTF">2026-07-03T07:01:27Z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1D3A4FA1ECDA4A409C800F39FD1F1881_13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