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MAY PAYMENT VER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<sst xmlns="http://schemas.openxmlformats.org/spreadsheetml/2006/main" count="151" uniqueCount="47">
  <si>
    <t>MICHELLE RECORD</t>
  </si>
  <si>
    <t>SHIPMENT  NUMBER</t>
  </si>
  <si>
    <t>BUYING</t>
  </si>
  <si>
    <t>CLIENT</t>
  </si>
  <si>
    <t>SOA #</t>
  </si>
  <si>
    <t>Payment Status</t>
  </si>
  <si>
    <t>Check Number</t>
  </si>
  <si>
    <t>Check List #</t>
  </si>
  <si>
    <t>Covered Amount in Cheque</t>
  </si>
  <si>
    <t>Excel SOA Amount</t>
  </si>
  <si>
    <t>Coverage Check</t>
  </si>
  <si>
    <t>Remaining Balance</t>
  </si>
  <si>
    <t>EWT</t>
  </si>
  <si>
    <t>SOA Number</t>
  </si>
  <si>
    <t>SOA AMOUNT</t>
  </si>
  <si>
    <t>ACTUAL PROFIT</t>
  </si>
  <si>
    <t>PAYMENT STATUS</t>
  </si>
  <si>
    <t>PAYMENT RETURNED</t>
  </si>
  <si>
    <t>109  Needs to be Returned</t>
  </si>
  <si>
    <t>Luke</t>
  </si>
  <si>
    <t>Personal Bank</t>
  </si>
  <si>
    <t>ACT</t>
  </si>
  <si>
    <t>Returned</t>
  </si>
  <si>
    <t>CHRISTIAN</t>
  </si>
  <si>
    <t>Paid</t>
  </si>
  <si>
    <t>✅ Covered</t>
  </si>
  <si>
    <t>returned 5783.72</t>
  </si>
  <si>
    <t>returned 5719.05</t>
  </si>
  <si>
    <t>returned 15961.03</t>
  </si>
  <si>
    <t>returned 15914.98</t>
  </si>
  <si>
    <t>TT</t>
  </si>
  <si>
    <t>Grace Valley</t>
  </si>
  <si>
    <t>Accu 01 Addtl - Profit Sharing</t>
  </si>
  <si>
    <t xml:space="preserve">TT </t>
  </si>
  <si>
    <t>A logistics</t>
  </si>
  <si>
    <t>ACCUSTANDARD</t>
  </si>
  <si>
    <t>-</t>
  </si>
  <si>
    <t>109 again</t>
  </si>
  <si>
    <t>Jaycee</t>
  </si>
  <si>
    <t>returned 4991.05</t>
  </si>
  <si>
    <t>Z+L6:M10</t>
  </si>
  <si>
    <t>Addtl 115</t>
  </si>
  <si>
    <t>CHRISTIAN overide by Carmel</t>
  </si>
  <si>
    <t>Addtl 119</t>
  </si>
  <si>
    <t>Act</t>
  </si>
  <si>
    <t>119 addtl destination</t>
  </si>
  <si>
    <t>48
,
369.83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</si>
</sst>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"/>
  </numFmts>
  <fonts count="34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Arial"/>
      <charset val="134"/>
    </font>
    <font>
      <sz val="20"/>
      <color theme="1"/>
      <name val="Arial"/>
      <charset val="134"/>
    </font>
    <font>
      <sz val="2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Arial"/>
      <charset val="134"/>
    </font>
    <font>
      <b/>
      <sz val="20"/>
      <color theme="1"/>
      <name val="Arial"/>
      <charset val="134"/>
    </font>
    <font>
      <b/>
      <sz val="2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color rgb="FF0070C0"/>
      <name val="Calibri"/>
      <charset val="134"/>
      <scheme val="minor"/>
    </font>
    <font>
      <b/>
      <sz val="11"/>
      <color theme="1"/>
      <name val="Arial"/>
      <charset val="134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2" fillId="0" borderId="0" xfId="0" applyFont="1"/>
    <xf numFmtId="43" fontId="2" fillId="0" borderId="0" xfId="1" applyFont="1"/>
    <xf numFmtId="0" fontId="3" fillId="0" borderId="0" xfId="0" applyFont="1" applyAlignment="1">
      <alignment horizontal="center"/>
    </xf>
    <xf numFmtId="43" fontId="4" fillId="0" borderId="0" xfId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5" borderId="1" xfId="0" applyFont="1" applyFill="1" applyBorder="1"/>
    <xf numFmtId="176" fontId="3" fillId="5" borderId="1" xfId="0" applyNumberFormat="1" applyFont="1" applyFill="1" applyBorder="1"/>
    <xf numFmtId="43" fontId="3" fillId="4" borderId="1" xfId="1" applyFont="1" applyFill="1" applyBorder="1"/>
    <xf numFmtId="0" fontId="3" fillId="5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 readingOrder="1"/>
    </xf>
    <xf numFmtId="0" fontId="3" fillId="5" borderId="0" xfId="0" applyFont="1" applyFill="1" applyBorder="1" applyAlignment="1">
      <alignment horizontal="center"/>
    </xf>
    <xf numFmtId="43" fontId="3" fillId="5" borderId="0" xfId="1" applyFont="1" applyFill="1" applyBorder="1" applyAlignment="1">
      <alignment horizontal="center"/>
    </xf>
    <xf numFmtId="43" fontId="4" fillId="0" borderId="1" xfId="1" applyFont="1" applyBorder="1" applyAlignment="1">
      <alignment horizontal="center" wrapText="1" readingOrder="1"/>
    </xf>
    <xf numFmtId="0" fontId="10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 readingOrder="1"/>
    </xf>
    <xf numFmtId="4" fontId="11" fillId="0" borderId="1" xfId="0" applyNumberFormat="1" applyFont="1" applyBorder="1" applyAlignment="1">
      <alignment horizontal="center" wrapText="1" readingOrder="1"/>
    </xf>
    <xf numFmtId="0" fontId="3" fillId="0" borderId="3" xfId="0" applyFont="1" applyBorder="1" applyAlignment="1">
      <alignment horizontal="center" wrapText="1" readingOrder="1"/>
    </xf>
    <xf numFmtId="0" fontId="3" fillId="0" borderId="3" xfId="0" applyFont="1" applyBorder="1" applyAlignment="1">
      <alignment horizontal="right" wrapText="1" readingOrder="1"/>
    </xf>
    <xf numFmtId="0" fontId="4" fillId="0" borderId="1" xfId="0" applyFont="1" applyBorder="1"/>
    <xf numFmtId="43" fontId="3" fillId="3" borderId="1" xfId="1" applyFont="1" applyFill="1" applyBorder="1"/>
    <xf numFmtId="43" fontId="3" fillId="5" borderId="1" xfId="1" applyFont="1" applyFill="1" applyBorder="1" applyAlignment="1">
      <alignment horizontal="center"/>
    </xf>
    <xf numFmtId="43" fontId="4" fillId="0" borderId="1" xfId="1" applyFont="1" applyBorder="1"/>
    <xf numFmtId="43" fontId="3" fillId="5" borderId="0" xfId="1" applyFont="1" applyFill="1" applyAlignment="1">
      <alignment horizontal="center"/>
    </xf>
    <xf numFmtId="0" fontId="3" fillId="5" borderId="0" xfId="0" applyFont="1" applyFill="1" applyAlignment="1">
      <alignment horizontal="right"/>
    </xf>
    <xf numFmtId="0" fontId="11" fillId="0" borderId="1" xfId="0" applyFont="1" applyBorder="1"/>
    <xf numFmtId="0" fontId="4" fillId="0" borderId="0" xfId="0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43" fontId="3" fillId="0" borderId="0" xfId="1" applyFont="1"/>
    <xf numFmtId="43" fontId="4" fillId="0" borderId="0" xfId="1" applyFont="1"/>
    <xf numFmtId="0" fontId="4" fillId="0" borderId="0" xfId="0" applyFont="1"/>
    <xf numFmtId="0" fontId="3" fillId="0" borderId="4" xfId="0" applyFont="1" applyFill="1" applyBorder="1"/>
    <xf numFmtId="176" fontId="3" fillId="0" borderId="5" xfId="0" applyNumberFormat="1" applyFont="1" applyFill="1" applyBorder="1"/>
    <xf numFmtId="0" fontId="3" fillId="0" borderId="5" xfId="0" applyFont="1" applyFill="1" applyBorder="1"/>
    <xf numFmtId="43" fontId="3" fillId="0" borderId="5" xfId="1" applyFont="1" applyFill="1" applyBorder="1"/>
    <xf numFmtId="0" fontId="3" fillId="0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4" fillId="0" borderId="0" xfId="1" applyFont="1" applyFill="1"/>
    <xf numFmtId="0" fontId="4" fillId="0" borderId="0" xfId="0" applyFont="1" applyFill="1"/>
    <xf numFmtId="43" fontId="0" fillId="0" borderId="0" xfId="1" applyFont="1"/>
    <xf numFmtId="0" fontId="12" fillId="0" borderId="0" xfId="0" applyFont="1"/>
    <xf numFmtId="43" fontId="12" fillId="0" borderId="0" xfId="1" applyFont="1"/>
    <xf numFmtId="0" fontId="7" fillId="0" borderId="0" xfId="0" applyFont="1" applyAlignment="1">
      <alignment horizontal="center"/>
    </xf>
    <xf numFmtId="43" fontId="13" fillId="0" borderId="0" xfId="1" applyFont="1" applyAlignment="1">
      <alignment horizontal="center"/>
    </xf>
    <xf numFmtId="43" fontId="14" fillId="0" borderId="0" xfId="1" applyFont="1"/>
    <xf numFmtId="0" fontId="14" fillId="0" borderId="0" xfId="0" applyFont="1"/>
    <xf numFmtId="0" fontId="7" fillId="3" borderId="6" xfId="0" applyFont="1" applyFill="1" applyBorder="1"/>
    <xf numFmtId="43" fontId="7" fillId="3" borderId="6" xfId="1" applyFont="1" applyFill="1" applyBorder="1"/>
    <xf numFmtId="0" fontId="7" fillId="3" borderId="6" xfId="0" applyFont="1" applyFill="1" applyBorder="1" applyAlignment="1">
      <alignment horizontal="center"/>
    </xf>
    <xf numFmtId="43" fontId="13" fillId="3" borderId="6" xfId="1" applyFont="1" applyFill="1" applyBorder="1" applyAlignment="1">
      <alignment horizontal="center"/>
    </xf>
    <xf numFmtId="43" fontId="13" fillId="3" borderId="6" xfId="1" applyFont="1" applyFill="1" applyBorder="1"/>
    <xf numFmtId="0" fontId="13" fillId="3" borderId="6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"/>
  <sheetViews>
    <sheetView tabSelected="1" zoomScale="50" zoomScaleNormal="50" workbookViewId="0">
      <selection activeCell="N23" sqref="N23"/>
    </sheetView>
  </sheetViews>
  <sheetFormatPr defaultColWidth="9" defaultRowHeight="26.25"/>
  <cols>
    <col min="1" max="1" width="48.9333333333333" style="4" customWidth="1"/>
    <col min="2" max="2" width="21.6666666666667" style="4" customWidth="1"/>
    <col min="3" max="3" width="22.6666666666667" style="4" customWidth="1"/>
    <col min="4" max="4" width="27.6" style="4" customWidth="1"/>
    <col min="5" max="5" width="28.1333333333333" style="5" customWidth="1"/>
    <col min="6" max="16" width="30.6" style="6" customWidth="1"/>
    <col min="17" max="17" width="27.6" style="7" customWidth="1"/>
    <col min="18" max="18" width="33.3333333333333" style="7" customWidth="1"/>
    <col min="19" max="19" width="33.2666666666667" customWidth="1"/>
    <col min="20" max="20" width="33.4666666666667" customWidth="1"/>
  </cols>
  <sheetData>
    <row r="1" ht="42" customHeight="1" spans="1:22">
      <c r="A1" s="8" t="s">
        <v>0</v>
      </c>
      <c r="B1"/>
      <c r="C1"/>
      <c r="D1"/>
      <c r="E1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="1" customFormat="1" ht="108" spans="1:22">
      <c r="A2" s="10" t="s">
        <v>1</v>
      </c>
      <c r="B2" s="10"/>
      <c r="C2" s="10"/>
      <c r="D2" s="10"/>
      <c r="E2" s="11" t="s">
        <v>2</v>
      </c>
      <c r="F2" s="12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M2" s="13" t="s">
        <v>10</v>
      </c>
      <c r="N2" s="13" t="s">
        <v>11</v>
      </c>
      <c r="O2" s="13" t="s">
        <v>12</v>
      </c>
      <c r="P2" s="12" t="s">
        <v>13</v>
      </c>
      <c r="Q2" s="14" t="s">
        <v>14</v>
      </c>
      <c r="R2" s="15" t="s">
        <v>15</v>
      </c>
      <c r="S2" s="10" t="s">
        <v>16</v>
      </c>
      <c r="T2" s="16" t="s">
        <v>17</v>
      </c>
    </row>
    <row r="3" s="2" customFormat="1" ht="27" spans="1:22">
      <c r="A3" s="17" t="s">
        <v>18</v>
      </c>
      <c r="B3" s="18">
        <v>46149</v>
      </c>
      <c r="C3" s="17" t="s">
        <v>19</v>
      </c>
      <c r="D3" s="17" t="s">
        <v>20</v>
      </c>
      <c r="E3" s="19">
        <v>15300</v>
      </c>
      <c r="F3" s="17" t="s">
        <v>21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20" t="s">
        <v>22</v>
      </c>
      <c r="R3" s="20" t="e">
        <f>Q3-E3</f>
        <v>#VALUE!</v>
      </c>
      <c r="S3" s="21"/>
      <c r="T3" s="22">
        <v>15300</v>
      </c>
    </row>
    <row r="4" ht="27" spans="1:22">
      <c r="A4" s="23">
        <v>110</v>
      </c>
      <c r="B4" s="24">
        <v>46150</v>
      </c>
      <c r="C4" s="23" t="s">
        <v>23</v>
      </c>
      <c r="D4" s="23" t="s">
        <v>20</v>
      </c>
      <c r="E4" s="25">
        <v>81300</v>
      </c>
      <c r="F4" s="26" t="s">
        <v>21</v>
      </c>
      <c r="G4" s="27">
        <v>325</v>
      </c>
      <c r="H4" s="28" t="s">
        <v>24</v>
      </c>
      <c r="I4" s="28">
        <v>681869</v>
      </c>
      <c r="J4" s="28">
        <v>22</v>
      </c>
      <c r="K4" s="29">
        <v>481429.04</v>
      </c>
      <c r="L4" s="30">
        <v>88925.04</v>
      </c>
      <c r="M4" s="31" t="s">
        <v>25</v>
      </c>
      <c r="N4" s="29">
        <v>392855.94</v>
      </c>
      <c r="O4" s="32">
        <v>351.94</v>
      </c>
      <c r="P4" s="27">
        <v>325</v>
      </c>
      <c r="Q4" s="30">
        <v>88925.04</v>
      </c>
      <c r="R4" s="20">
        <f t="shared" ref="R4:R28" si="0">Q4-E4</f>
        <v>7625.03999999999</v>
      </c>
      <c r="S4" s="30"/>
      <c r="T4" s="33" t="s">
        <v>26</v>
      </c>
    </row>
    <row r="5" ht="27" spans="1:22">
      <c r="A5" s="23">
        <v>111</v>
      </c>
      <c r="B5" s="24">
        <v>46150</v>
      </c>
      <c r="C5" s="23" t="s">
        <v>23</v>
      </c>
      <c r="D5" s="23" t="s">
        <v>20</v>
      </c>
      <c r="E5" s="25">
        <v>58300</v>
      </c>
      <c r="F5" s="26" t="s">
        <v>21</v>
      </c>
      <c r="G5" s="34">
        <v>326</v>
      </c>
      <c r="H5" s="28" t="s">
        <v>24</v>
      </c>
      <c r="I5" s="28">
        <v>681869</v>
      </c>
      <c r="J5" s="28">
        <v>22</v>
      </c>
      <c r="K5" s="29">
        <v>481429.04</v>
      </c>
      <c r="L5" s="30">
        <v>70689.71</v>
      </c>
      <c r="M5" s="31" t="s">
        <v>25</v>
      </c>
      <c r="N5" s="29">
        <v>322512.82</v>
      </c>
      <c r="O5" s="35">
        <v>346.59</v>
      </c>
      <c r="P5" s="34">
        <v>326</v>
      </c>
      <c r="Q5" s="30">
        <v>70689.71</v>
      </c>
      <c r="R5" s="20">
        <f t="shared" si="0"/>
        <v>12389.71</v>
      </c>
      <c r="S5" s="30"/>
      <c r="T5" s="33" t="s">
        <v>27</v>
      </c>
    </row>
    <row r="6" ht="27" spans="1:22">
      <c r="A6" s="23">
        <v>112</v>
      </c>
      <c r="B6" s="24">
        <v>46150</v>
      </c>
      <c r="C6" s="23" t="s">
        <v>23</v>
      </c>
      <c r="D6" s="23" t="s">
        <v>20</v>
      </c>
      <c r="E6" s="25">
        <v>60300</v>
      </c>
      <c r="F6" s="26" t="s">
        <v>21</v>
      </c>
      <c r="G6" s="34">
        <v>327</v>
      </c>
      <c r="H6" s="28" t="s">
        <v>24</v>
      </c>
      <c r="I6" s="28">
        <v>681869</v>
      </c>
      <c r="J6" s="28">
        <v>22</v>
      </c>
      <c r="K6" s="29">
        <v>481429.04</v>
      </c>
      <c r="L6" s="30">
        <v>62414.97</v>
      </c>
      <c r="M6" s="31" t="s">
        <v>25</v>
      </c>
      <c r="N6" s="29">
        <v>260443.85</v>
      </c>
      <c r="O6" s="35">
        <v>346</v>
      </c>
      <c r="P6" s="34">
        <v>327</v>
      </c>
      <c r="Q6" s="30">
        <v>62414.97</v>
      </c>
      <c r="R6" s="20">
        <f t="shared" si="0"/>
        <v>2114.97</v>
      </c>
      <c r="S6" s="30"/>
      <c r="T6" s="33" t="s">
        <v>28</v>
      </c>
    </row>
    <row r="7" ht="27" spans="1:22">
      <c r="A7" s="23">
        <v>113</v>
      </c>
      <c r="B7" s="24">
        <v>46150</v>
      </c>
      <c r="C7" s="23" t="s">
        <v>23</v>
      </c>
      <c r="D7" s="23" t="s">
        <v>20</v>
      </c>
      <c r="E7" s="25">
        <v>77300</v>
      </c>
      <c r="F7" s="26" t="s">
        <v>21</v>
      </c>
      <c r="G7" s="34">
        <v>328</v>
      </c>
      <c r="H7" s="28" t="s">
        <v>24</v>
      </c>
      <c r="I7" s="28">
        <v>681869</v>
      </c>
      <c r="J7" s="28">
        <v>22</v>
      </c>
      <c r="K7" s="29">
        <v>481429.04</v>
      </c>
      <c r="L7" s="30">
        <v>74663.33</v>
      </c>
      <c r="M7" s="31" t="s">
        <v>25</v>
      </c>
      <c r="N7" s="29">
        <v>186130.13</v>
      </c>
      <c r="O7" s="35">
        <v>349.61</v>
      </c>
      <c r="P7" s="34">
        <v>328</v>
      </c>
      <c r="Q7" s="30">
        <v>74663.33</v>
      </c>
      <c r="R7" s="20">
        <f t="shared" si="0"/>
        <v>-2636.67</v>
      </c>
      <c r="S7" s="30"/>
      <c r="T7" s="33" t="s">
        <v>29</v>
      </c>
    </row>
    <row r="8" ht="27" spans="1:22">
      <c r="A8" s="23">
        <v>114</v>
      </c>
      <c r="B8" s="24">
        <v>46150</v>
      </c>
      <c r="C8" s="23" t="s">
        <v>23</v>
      </c>
      <c r="D8" s="23"/>
      <c r="E8" s="25">
        <v>86300</v>
      </c>
      <c r="F8" s="26" t="s">
        <v>21</v>
      </c>
      <c r="G8" s="34">
        <v>329</v>
      </c>
      <c r="H8" s="28" t="s">
        <v>24</v>
      </c>
      <c r="I8" s="28">
        <v>681869</v>
      </c>
      <c r="J8" s="28">
        <v>22</v>
      </c>
      <c r="K8" s="29">
        <v>481429.04</v>
      </c>
      <c r="L8" s="30">
        <v>115111.39</v>
      </c>
      <c r="M8" s="31" t="s">
        <v>25</v>
      </c>
      <c r="N8" s="29">
        <v>71371.43</v>
      </c>
      <c r="O8" s="35">
        <v>352.69</v>
      </c>
      <c r="P8" s="34">
        <v>329</v>
      </c>
      <c r="Q8" s="30">
        <v>115111.39</v>
      </c>
      <c r="R8" s="20">
        <f t="shared" si="0"/>
        <v>28811.39</v>
      </c>
      <c r="S8" s="30"/>
      <c r="T8" s="33"/>
    </row>
    <row r="9" ht="27" spans="1:22">
      <c r="A9" s="23">
        <v>115</v>
      </c>
      <c r="B9" s="24">
        <v>46157</v>
      </c>
      <c r="C9" s="23" t="s">
        <v>23</v>
      </c>
      <c r="D9" s="23" t="s">
        <v>20</v>
      </c>
      <c r="E9" s="25">
        <v>40600</v>
      </c>
      <c r="F9" s="26" t="s">
        <v>21</v>
      </c>
      <c r="G9" s="34">
        <v>330</v>
      </c>
      <c r="H9" s="28" t="s">
        <v>24</v>
      </c>
      <c r="I9" s="28">
        <v>681869</v>
      </c>
      <c r="J9" s="28">
        <v>22</v>
      </c>
      <c r="K9" s="29">
        <v>481429.04</v>
      </c>
      <c r="L9" s="30">
        <v>71717.43</v>
      </c>
      <c r="M9" s="31" t="s">
        <v>25</v>
      </c>
      <c r="N9" s="29">
        <v>0</v>
      </c>
      <c r="O9" s="35">
        <v>346</v>
      </c>
      <c r="P9" s="34">
        <v>330</v>
      </c>
      <c r="Q9" s="30">
        <v>71717.43</v>
      </c>
      <c r="R9" s="20">
        <f t="shared" si="0"/>
        <v>31117.43</v>
      </c>
      <c r="S9" s="30"/>
      <c r="T9" s="36"/>
    </row>
    <row r="10" ht="27" spans="1:22">
      <c r="A10" s="23">
        <v>116</v>
      </c>
      <c r="B10" s="24">
        <v>46164</v>
      </c>
      <c r="C10" s="23" t="s">
        <v>23</v>
      </c>
      <c r="D10" s="23" t="s">
        <v>20</v>
      </c>
      <c r="E10" s="37">
        <v>20000</v>
      </c>
      <c r="F10" s="26" t="s">
        <v>21</v>
      </c>
      <c r="G10" s="34">
        <v>335</v>
      </c>
      <c r="H10" s="28" t="s">
        <v>24</v>
      </c>
      <c r="I10" s="28">
        <v>681873</v>
      </c>
      <c r="J10" s="28">
        <v>23</v>
      </c>
      <c r="K10" s="29">
        <v>779585.31</v>
      </c>
      <c r="L10" s="30">
        <v>33297.76</v>
      </c>
      <c r="M10" s="31" t="s">
        <v>25</v>
      </c>
      <c r="N10" s="29">
        <v>746621.55</v>
      </c>
      <c r="O10" s="35">
        <v>334</v>
      </c>
      <c r="P10" s="34">
        <v>335</v>
      </c>
      <c r="Q10" s="30">
        <v>33297.76</v>
      </c>
      <c r="R10" s="20">
        <f t="shared" si="0"/>
        <v>13297.76</v>
      </c>
      <c r="S10" s="30"/>
      <c r="T10" s="36"/>
    </row>
    <row r="11" ht="27" spans="1:22">
      <c r="A11" s="23">
        <v>117</v>
      </c>
      <c r="B11" s="24">
        <v>46157</v>
      </c>
      <c r="C11" s="23" t="s">
        <v>23</v>
      </c>
      <c r="D11" s="23" t="s">
        <v>20</v>
      </c>
      <c r="E11" s="25">
        <v>75200</v>
      </c>
      <c r="F11" s="26" t="s">
        <v>21</v>
      </c>
      <c r="G11" s="34">
        <v>331</v>
      </c>
      <c r="H11" s="28" t="s">
        <v>24</v>
      </c>
      <c r="I11" s="28">
        <v>681873</v>
      </c>
      <c r="J11" s="28">
        <v>23</v>
      </c>
      <c r="K11" s="29">
        <v>779585.31</v>
      </c>
      <c r="L11" s="30">
        <v>87635.39</v>
      </c>
      <c r="M11" s="31" t="s">
        <v>25</v>
      </c>
      <c r="N11" s="29">
        <v>659337.89</v>
      </c>
      <c r="O11" s="35">
        <v>351.73</v>
      </c>
      <c r="P11" s="34">
        <v>331</v>
      </c>
      <c r="Q11" s="30">
        <v>87635.39</v>
      </c>
      <c r="R11" s="20">
        <f t="shared" si="0"/>
        <v>12435.39</v>
      </c>
      <c r="S11" s="30"/>
      <c r="T11" s="36"/>
    </row>
    <row r="12" ht="27" spans="1:22">
      <c r="A12" s="23">
        <v>118</v>
      </c>
      <c r="B12" s="24">
        <v>46156</v>
      </c>
      <c r="C12" s="23" t="s">
        <v>23</v>
      </c>
      <c r="D12" s="23" t="s">
        <v>20</v>
      </c>
      <c r="E12" s="25">
        <v>61200</v>
      </c>
      <c r="F12" s="26" t="s">
        <v>21</v>
      </c>
      <c r="G12" s="34">
        <v>332</v>
      </c>
      <c r="H12" s="28" t="s">
        <v>24</v>
      </c>
      <c r="I12" s="28">
        <v>681873</v>
      </c>
      <c r="J12" s="28">
        <v>23</v>
      </c>
      <c r="K12" s="29">
        <v>779585.31</v>
      </c>
      <c r="L12" s="30">
        <v>73694.4</v>
      </c>
      <c r="M12" s="31" t="s">
        <v>25</v>
      </c>
      <c r="N12" s="29">
        <v>585992.95</v>
      </c>
      <c r="O12" s="35">
        <v>349.46</v>
      </c>
      <c r="P12" s="34">
        <v>332</v>
      </c>
      <c r="Q12" s="30">
        <v>73694.4</v>
      </c>
      <c r="R12" s="20">
        <f t="shared" si="0"/>
        <v>12494.4</v>
      </c>
      <c r="S12" s="30"/>
      <c r="T12" s="36"/>
    </row>
    <row r="13" ht="27" spans="1:22">
      <c r="A13" s="23">
        <v>119</v>
      </c>
      <c r="B13" s="24">
        <v>46156</v>
      </c>
      <c r="C13" s="23" t="s">
        <v>30</v>
      </c>
      <c r="D13" s="23" t="s">
        <v>31</v>
      </c>
      <c r="E13" s="25">
        <v>39774.45</v>
      </c>
      <c r="F13" s="26" t="s">
        <v>21</v>
      </c>
      <c r="G13" s="34">
        <v>341</v>
      </c>
      <c r="H13" s="28" t="s">
        <v>24</v>
      </c>
      <c r="I13" s="28"/>
      <c r="J13" s="28"/>
      <c r="K13" s="29"/>
      <c r="L13" s="30">
        <v>156409.64</v>
      </c>
      <c r="M13" s="28"/>
      <c r="N13" s="29"/>
      <c r="O13" s="28"/>
      <c r="P13" s="34">
        <v>341</v>
      </c>
      <c r="Q13" s="30">
        <v>156409.64</v>
      </c>
      <c r="R13" s="20">
        <f t="shared" si="0"/>
        <v>116635.19</v>
      </c>
      <c r="S13" s="30"/>
      <c r="T13" s="36"/>
    </row>
    <row r="14" spans="1:22">
      <c r="A14" s="23" t="s">
        <v>32</v>
      </c>
      <c r="B14" s="24">
        <v>46156</v>
      </c>
      <c r="C14" s="23" t="s">
        <v>33</v>
      </c>
      <c r="D14" s="23" t="s">
        <v>34</v>
      </c>
      <c r="E14" s="25">
        <v>136.7</v>
      </c>
      <c r="F14" s="26" t="s">
        <v>35</v>
      </c>
      <c r="G14" s="26"/>
      <c r="H14" s="26"/>
      <c r="I14" s="26"/>
      <c r="J14" s="26"/>
      <c r="K14" s="38"/>
      <c r="L14" s="26"/>
      <c r="M14" s="26"/>
      <c r="N14" s="38"/>
      <c r="O14" s="26"/>
      <c r="P14" s="26"/>
      <c r="Q14" s="20" t="s">
        <v>36</v>
      </c>
      <c r="R14" s="20" t="e">
        <f t="shared" si="0"/>
        <v>#VALUE!</v>
      </c>
      <c r="S14" s="39"/>
      <c r="T14" s="36"/>
    </row>
    <row r="15" spans="1:22">
      <c r="A15" s="23" t="s">
        <v>37</v>
      </c>
      <c r="B15" s="24">
        <v>46157</v>
      </c>
      <c r="C15" s="23" t="s">
        <v>38</v>
      </c>
      <c r="D15" s="23" t="s">
        <v>20</v>
      </c>
      <c r="E15" s="25">
        <v>15300</v>
      </c>
      <c r="F15" s="26" t="s">
        <v>21</v>
      </c>
      <c r="G15" s="6">
        <v>334</v>
      </c>
      <c r="H15" s="28" t="s">
        <v>24</v>
      </c>
      <c r="I15" s="28">
        <v>681873</v>
      </c>
      <c r="J15" s="28">
        <v>23</v>
      </c>
      <c r="K15" s="29">
        <v>779585.31</v>
      </c>
      <c r="L15" s="20">
        <v>25712.95</v>
      </c>
      <c r="M15" s="31" t="s">
        <v>25</v>
      </c>
      <c r="N15" s="40">
        <v>560614</v>
      </c>
      <c r="O15" s="41">
        <v>334</v>
      </c>
      <c r="P15" s="6">
        <v>334</v>
      </c>
      <c r="Q15" s="20">
        <v>25712.95</v>
      </c>
      <c r="R15" s="20">
        <f t="shared" si="0"/>
        <v>10412.95</v>
      </c>
      <c r="S15" s="39"/>
      <c r="T15" s="42" t="s">
        <v>39</v>
      </c>
      <c r="V15" t="s">
        <v>40</v>
      </c>
    </row>
    <row r="16" ht="27" spans="1:22">
      <c r="A16" s="23" t="s">
        <v>41</v>
      </c>
      <c r="B16" s="24">
        <v>46160</v>
      </c>
      <c r="C16" s="23" t="s">
        <v>42</v>
      </c>
      <c r="D16" s="23" t="s">
        <v>20</v>
      </c>
      <c r="E16" s="25">
        <v>15000</v>
      </c>
      <c r="F16" s="26" t="s">
        <v>21</v>
      </c>
      <c r="G16" s="26"/>
      <c r="H16" s="26"/>
      <c r="I16" s="26"/>
      <c r="J16" s="26"/>
      <c r="K16" s="38"/>
      <c r="L16" s="26"/>
      <c r="M16" s="26"/>
      <c r="N16" s="38"/>
      <c r="O16" s="26"/>
      <c r="P16" s="26"/>
      <c r="Q16" s="20" t="s">
        <v>36</v>
      </c>
      <c r="R16" s="20" t="e">
        <f t="shared" si="0"/>
        <v>#VALUE!</v>
      </c>
      <c r="S16" s="39"/>
      <c r="T16" s="36"/>
    </row>
    <row r="17" ht="27" spans="1:20">
      <c r="A17" s="23">
        <v>120</v>
      </c>
      <c r="B17" s="24">
        <v>46160</v>
      </c>
      <c r="C17" s="23" t="s">
        <v>23</v>
      </c>
      <c r="D17" s="23" t="s">
        <v>20</v>
      </c>
      <c r="E17" s="25">
        <v>77200</v>
      </c>
      <c r="F17" s="26" t="s">
        <v>21</v>
      </c>
      <c r="G17" s="27">
        <v>333</v>
      </c>
      <c r="H17" s="28" t="s">
        <v>24</v>
      </c>
      <c r="I17" s="28">
        <v>681873</v>
      </c>
      <c r="J17" s="28">
        <v>23</v>
      </c>
      <c r="K17" s="29">
        <v>779585.31</v>
      </c>
      <c r="L17" s="30">
        <v>92566.87</v>
      </c>
      <c r="M17" s="31" t="s">
        <v>25</v>
      </c>
      <c r="N17" s="29">
        <v>468399.18</v>
      </c>
      <c r="O17" s="32">
        <v>352.05</v>
      </c>
      <c r="P17" s="27">
        <v>333</v>
      </c>
      <c r="Q17" s="30">
        <v>92566.87</v>
      </c>
      <c r="R17" s="20">
        <f t="shared" si="0"/>
        <v>15366.87</v>
      </c>
      <c r="S17" s="30"/>
      <c r="T17" s="36"/>
    </row>
    <row r="18" ht="27" spans="1:20">
      <c r="A18" s="23">
        <v>121</v>
      </c>
      <c r="B18" s="24">
        <v>46164</v>
      </c>
      <c r="C18" s="23" t="s">
        <v>23</v>
      </c>
      <c r="D18" s="23" t="s">
        <v>20</v>
      </c>
      <c r="E18" s="25">
        <v>76000</v>
      </c>
      <c r="F18" s="26" t="s">
        <v>21</v>
      </c>
      <c r="G18" s="34">
        <v>336</v>
      </c>
      <c r="H18" s="28" t="s">
        <v>24</v>
      </c>
      <c r="I18" s="28">
        <v>681873</v>
      </c>
      <c r="J18" s="28">
        <v>23</v>
      </c>
      <c r="K18" s="29">
        <v>779585.31</v>
      </c>
      <c r="L18" s="30">
        <v>88363.87</v>
      </c>
      <c r="M18" s="31" t="s">
        <v>25</v>
      </c>
      <c r="N18" s="29">
        <v>380387.16</v>
      </c>
      <c r="O18" s="35">
        <v>351.85</v>
      </c>
      <c r="P18" s="34">
        <v>336</v>
      </c>
      <c r="Q18" s="30">
        <v>88363.87</v>
      </c>
      <c r="R18" s="20">
        <f t="shared" si="0"/>
        <v>12363.87</v>
      </c>
      <c r="S18" s="30"/>
      <c r="T18" s="36"/>
    </row>
    <row r="19" ht="27" spans="1:20">
      <c r="A19" s="23">
        <v>122</v>
      </c>
      <c r="B19" s="24">
        <v>46164</v>
      </c>
      <c r="C19" s="23" t="s">
        <v>23</v>
      </c>
      <c r="D19" s="23" t="s">
        <v>20</v>
      </c>
      <c r="E19" s="25">
        <v>61800</v>
      </c>
      <c r="F19" s="26" t="s">
        <v>21</v>
      </c>
      <c r="G19" s="34">
        <v>337</v>
      </c>
      <c r="H19" s="28" t="s">
        <v>24</v>
      </c>
      <c r="I19" s="28">
        <v>681873</v>
      </c>
      <c r="J19" s="28">
        <v>23</v>
      </c>
      <c r="K19" s="29">
        <v>779585.31</v>
      </c>
      <c r="L19" s="30">
        <v>76582.63</v>
      </c>
      <c r="M19" s="31" t="s">
        <v>25</v>
      </c>
      <c r="N19" s="29">
        <v>304154.07</v>
      </c>
      <c r="O19" s="35">
        <v>349.54</v>
      </c>
      <c r="P19" s="34">
        <v>337</v>
      </c>
      <c r="Q19" s="30">
        <v>76582.63</v>
      </c>
      <c r="R19" s="20">
        <f t="shared" si="0"/>
        <v>14782.63</v>
      </c>
      <c r="S19" s="30"/>
      <c r="T19" s="36"/>
    </row>
    <row r="20" ht="27" spans="1:20">
      <c r="A20" s="23">
        <v>123</v>
      </c>
      <c r="B20" s="24">
        <v>46164</v>
      </c>
      <c r="C20" s="23" t="s">
        <v>23</v>
      </c>
      <c r="D20" s="23" t="s">
        <v>20</v>
      </c>
      <c r="E20" s="25">
        <v>47200</v>
      </c>
      <c r="F20" s="26" t="s">
        <v>21</v>
      </c>
      <c r="G20" s="34">
        <v>338</v>
      </c>
      <c r="H20" s="28" t="s">
        <v>24</v>
      </c>
      <c r="I20" s="28">
        <v>681873</v>
      </c>
      <c r="J20" s="28">
        <v>23</v>
      </c>
      <c r="K20" s="29">
        <v>779585.31</v>
      </c>
      <c r="L20" s="30">
        <v>60789.89</v>
      </c>
      <c r="M20" s="31" t="s">
        <v>25</v>
      </c>
      <c r="N20" s="29">
        <v>243711.56</v>
      </c>
      <c r="O20" s="35">
        <v>347.38</v>
      </c>
      <c r="P20" s="34">
        <v>338</v>
      </c>
      <c r="Q20" s="30">
        <v>60789.89</v>
      </c>
      <c r="R20" s="20">
        <f t="shared" si="0"/>
        <v>13589.89</v>
      </c>
      <c r="S20" s="30"/>
      <c r="T20" s="36"/>
    </row>
    <row r="21" ht="27" spans="1:20">
      <c r="A21" s="23">
        <v>124</v>
      </c>
      <c r="B21" s="24">
        <v>46164</v>
      </c>
      <c r="C21" s="23" t="s">
        <v>23</v>
      </c>
      <c r="D21" s="23" t="s">
        <v>20</v>
      </c>
      <c r="E21" s="25">
        <v>39400</v>
      </c>
      <c r="F21" s="26" t="s">
        <v>21</v>
      </c>
      <c r="G21" s="34">
        <v>339</v>
      </c>
      <c r="H21" s="28" t="s">
        <v>24</v>
      </c>
      <c r="I21" s="28">
        <v>681873</v>
      </c>
      <c r="J21" s="28">
        <v>23</v>
      </c>
      <c r="K21" s="29">
        <v>779585.31</v>
      </c>
      <c r="L21" s="30">
        <v>51912.53</v>
      </c>
      <c r="M21" s="31" t="s">
        <v>25</v>
      </c>
      <c r="N21" s="29">
        <v>192145.03</v>
      </c>
      <c r="O21" s="35">
        <v>346</v>
      </c>
      <c r="P21" s="34">
        <v>339</v>
      </c>
      <c r="Q21" s="30">
        <v>51912.53</v>
      </c>
      <c r="R21" s="20">
        <f t="shared" si="0"/>
        <v>12512.53</v>
      </c>
      <c r="S21" s="30"/>
      <c r="T21" s="36"/>
    </row>
    <row r="22" ht="27" spans="1:20">
      <c r="A22" s="23">
        <v>125</v>
      </c>
      <c r="B22" s="24">
        <v>46168</v>
      </c>
      <c r="C22" s="23" t="s">
        <v>23</v>
      </c>
      <c r="D22" s="23" t="s">
        <v>20</v>
      </c>
      <c r="E22" s="25">
        <v>179500</v>
      </c>
      <c r="F22" s="26" t="s">
        <v>21</v>
      </c>
      <c r="G22" s="34">
        <v>340</v>
      </c>
      <c r="H22" s="28" t="s">
        <v>24</v>
      </c>
      <c r="I22" s="28">
        <v>681873</v>
      </c>
      <c r="J22" s="28">
        <v>23</v>
      </c>
      <c r="K22" s="29">
        <v>779585.31</v>
      </c>
      <c r="L22" s="30">
        <v>192538.03</v>
      </c>
      <c r="M22" s="31" t="s">
        <v>25</v>
      </c>
      <c r="N22" s="28">
        <v>-20</v>
      </c>
      <c r="O22" s="35">
        <v>373</v>
      </c>
      <c r="P22" s="34">
        <v>340</v>
      </c>
      <c r="Q22" s="30">
        <v>192538.03</v>
      </c>
      <c r="R22" s="20">
        <f t="shared" si="0"/>
        <v>13038.03</v>
      </c>
      <c r="S22" s="30"/>
      <c r="T22" s="36"/>
    </row>
    <row r="23" ht="27" spans="1:20">
      <c r="A23" s="23">
        <v>126</v>
      </c>
      <c r="B23" s="24">
        <v>46178</v>
      </c>
      <c r="C23" s="23" t="s">
        <v>23</v>
      </c>
      <c r="D23" s="23" t="s">
        <v>20</v>
      </c>
      <c r="E23" s="37">
        <v>185000</v>
      </c>
      <c r="F23" s="26"/>
      <c r="G23" s="27">
        <v>354</v>
      </c>
      <c r="H23" s="28"/>
      <c r="I23" s="28"/>
      <c r="J23" s="28"/>
      <c r="K23" s="29"/>
      <c r="L23" s="30">
        <v>235587.15</v>
      </c>
      <c r="M23" s="28"/>
      <c r="N23" s="28"/>
      <c r="O23" s="28"/>
      <c r="P23" s="27">
        <v>354</v>
      </c>
      <c r="Q23" s="30">
        <v>235587.15</v>
      </c>
      <c r="R23" s="20">
        <f t="shared" si="0"/>
        <v>50587.15</v>
      </c>
      <c r="S23" s="30"/>
      <c r="T23" s="36"/>
    </row>
    <row r="24" ht="27" spans="1:20">
      <c r="A24" s="23">
        <v>127</v>
      </c>
      <c r="B24" s="24">
        <v>46171</v>
      </c>
      <c r="C24" s="23" t="s">
        <v>23</v>
      </c>
      <c r="D24" s="23" t="s">
        <v>20</v>
      </c>
      <c r="E24" s="25">
        <v>65500</v>
      </c>
      <c r="F24" s="26" t="s">
        <v>21</v>
      </c>
      <c r="G24" s="34">
        <v>342</v>
      </c>
      <c r="H24" s="28"/>
      <c r="I24" s="28"/>
      <c r="J24" s="28"/>
      <c r="K24" s="29"/>
      <c r="L24" s="30">
        <v>77756.29</v>
      </c>
      <c r="M24" s="28"/>
      <c r="N24" s="28"/>
      <c r="O24" s="28"/>
      <c r="P24" s="34">
        <v>342</v>
      </c>
      <c r="Q24" s="30">
        <v>77756.29</v>
      </c>
      <c r="R24" s="20">
        <f t="shared" si="0"/>
        <v>12256.29</v>
      </c>
      <c r="S24" s="30"/>
      <c r="T24" s="36"/>
    </row>
    <row r="25" ht="27" spans="1:20">
      <c r="A25" s="23">
        <v>128</v>
      </c>
      <c r="B25" s="24">
        <v>46171</v>
      </c>
      <c r="C25" s="23" t="s">
        <v>23</v>
      </c>
      <c r="D25" s="23" t="s">
        <v>20</v>
      </c>
      <c r="E25" s="25">
        <v>326600</v>
      </c>
      <c r="F25" s="26" t="s">
        <v>21</v>
      </c>
      <c r="G25" s="34">
        <v>343</v>
      </c>
      <c r="H25" s="28"/>
      <c r="I25" s="28"/>
      <c r="J25" s="28"/>
      <c r="K25" s="29"/>
      <c r="L25" s="30">
        <v>351699.72</v>
      </c>
      <c r="M25" s="28"/>
      <c r="N25" s="28"/>
      <c r="O25" s="28"/>
      <c r="P25" s="34">
        <v>343</v>
      </c>
      <c r="Q25" s="30">
        <v>351699.72</v>
      </c>
      <c r="R25" s="20">
        <f t="shared" si="0"/>
        <v>25099.72</v>
      </c>
      <c r="S25" s="30"/>
      <c r="T25" s="36"/>
    </row>
    <row r="26" ht="27" spans="1:20">
      <c r="A26" s="23">
        <v>129</v>
      </c>
      <c r="B26" s="24">
        <v>46171</v>
      </c>
      <c r="C26" s="23" t="s">
        <v>23</v>
      </c>
      <c r="D26" s="23" t="s">
        <v>20</v>
      </c>
      <c r="E26" s="25">
        <v>48200</v>
      </c>
      <c r="F26" s="26" t="s">
        <v>21</v>
      </c>
      <c r="G26" s="34">
        <v>346</v>
      </c>
      <c r="H26" s="28"/>
      <c r="I26" s="28"/>
      <c r="J26" s="28"/>
      <c r="K26" s="29"/>
      <c r="L26" s="30">
        <v>65678.34</v>
      </c>
      <c r="M26" s="28"/>
      <c r="N26" s="28"/>
      <c r="O26" s="28"/>
      <c r="P26" s="34">
        <v>346</v>
      </c>
      <c r="Q26" s="30">
        <v>65678.34</v>
      </c>
      <c r="R26" s="20">
        <f t="shared" si="0"/>
        <v>17478.34</v>
      </c>
      <c r="S26" s="30"/>
      <c r="T26" s="36"/>
    </row>
    <row r="27" ht="27" spans="1:20">
      <c r="A27" s="23">
        <v>130</v>
      </c>
      <c r="B27" s="24">
        <v>46171</v>
      </c>
      <c r="C27" s="23" t="s">
        <v>23</v>
      </c>
      <c r="D27" s="23" t="s">
        <v>20</v>
      </c>
      <c r="E27" s="25">
        <v>58200</v>
      </c>
      <c r="F27" s="26" t="s">
        <v>21</v>
      </c>
      <c r="G27" s="34">
        <v>344</v>
      </c>
      <c r="H27" s="28"/>
      <c r="I27" s="28"/>
      <c r="J27" s="28"/>
      <c r="K27" s="29"/>
      <c r="L27" s="30">
        <v>76057.72</v>
      </c>
      <c r="M27" s="28"/>
      <c r="N27" s="28"/>
      <c r="O27" s="28"/>
      <c r="P27" s="34">
        <v>344</v>
      </c>
      <c r="Q27" s="30">
        <v>76057.72</v>
      </c>
      <c r="R27" s="20">
        <f t="shared" si="0"/>
        <v>17857.72</v>
      </c>
      <c r="S27" s="30"/>
      <c r="T27" s="36"/>
    </row>
    <row r="28" ht="27" spans="1:20">
      <c r="A28" s="23">
        <v>131</v>
      </c>
      <c r="B28" s="24">
        <v>46171</v>
      </c>
      <c r="C28" s="23" t="s">
        <v>23</v>
      </c>
      <c r="D28" s="23" t="s">
        <v>20</v>
      </c>
      <c r="E28" s="25">
        <v>61800</v>
      </c>
      <c r="F28" s="21" t="s">
        <v>21</v>
      </c>
      <c r="G28" s="34">
        <v>345</v>
      </c>
      <c r="H28" s="43"/>
      <c r="I28" s="43"/>
      <c r="J28" s="43"/>
      <c r="K28" s="44"/>
      <c r="L28" s="20">
        <v>74365.07</v>
      </c>
      <c r="M28" s="43"/>
      <c r="N28" s="43"/>
      <c r="O28" s="43"/>
      <c r="P28" s="34">
        <v>345</v>
      </c>
      <c r="Q28" s="20">
        <v>74365.07</v>
      </c>
      <c r="R28" s="20">
        <f t="shared" si="0"/>
        <v>12565.07</v>
      </c>
      <c r="S28" s="45"/>
      <c r="T28" s="45"/>
    </row>
    <row r="29" spans="1:20">
      <c r="A29" s="46"/>
      <c r="B29" s="46"/>
      <c r="C29" s="46"/>
      <c r="D29" s="46"/>
      <c r="E29" s="47"/>
      <c r="S29" s="48"/>
      <c r="T29" s="49"/>
    </row>
    <row r="30" spans="1:20">
      <c r="A30" s="46"/>
      <c r="B30" s="46"/>
      <c r="C30" s="46"/>
      <c r="D30" s="46"/>
      <c r="E30" s="47"/>
      <c r="S30" s="48"/>
      <c r="T30" s="49"/>
    </row>
    <row r="31" s="3" customFormat="1" spans="1:20">
      <c r="A31" s="50" t="s">
        <v>43</v>
      </c>
      <c r="B31" s="51">
        <v>46167</v>
      </c>
      <c r="C31" s="52" t="s">
        <v>30</v>
      </c>
      <c r="D31" s="52" t="s">
        <v>31</v>
      </c>
      <c r="E31" s="53">
        <v>265</v>
      </c>
      <c r="F31" s="54" t="s">
        <v>44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5" t="s">
        <v>36</v>
      </c>
      <c r="R31" s="56"/>
      <c r="S31" s="57"/>
      <c r="T31" s="58"/>
    </row>
    <row r="32" s="3" customFormat="1" spans="1:20">
      <c r="A32" s="50" t="s">
        <v>45</v>
      </c>
      <c r="B32" s="51">
        <v>46171</v>
      </c>
      <c r="C32" s="52" t="s">
        <v>23</v>
      </c>
      <c r="D32" s="52" t="s">
        <v>20</v>
      </c>
      <c r="E32" s="53">
        <v>78400</v>
      </c>
      <c r="F32" s="54" t="s">
        <v>44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5" t="s">
        <v>36</v>
      </c>
      <c r="R32" s="56"/>
      <c r="S32" s="57"/>
      <c r="T32" s="58"/>
    </row>
    <row r="33" spans="1:20">
      <c r="S33" s="59"/>
    </row>
    <row r="34" spans="1:20">
      <c r="S34" s="59"/>
    </row>
    <row r="35" spans="1:20">
      <c r="S35" s="59"/>
    </row>
    <row r="36" spans="1:20">
      <c r="S36" s="59"/>
    </row>
    <row r="37" spans="1:20">
      <c r="A37" s="60"/>
      <c r="B37" s="60"/>
      <c r="C37" s="60"/>
      <c r="D37" s="60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3"/>
      <c r="R37" s="63"/>
      <c r="S37" s="64"/>
      <c r="T37" s="65"/>
    </row>
    <row r="38" spans="1:20">
      <c r="S38" s="59"/>
    </row>
    <row r="39" spans="1:20">
      <c r="S39" s="59"/>
    </row>
    <row r="40" spans="1:20">
      <c r="S40" s="59"/>
    </row>
    <row r="41" spans="1:20">
      <c r="S41" s="59"/>
    </row>
    <row r="42" ht="27" spans="1:20">
      <c r="S42" s="59"/>
    </row>
    <row r="43" ht="27" spans="1:20">
      <c r="A43" s="66"/>
      <c r="B43" s="66"/>
      <c r="C43" s="66"/>
      <c r="D43" s="66"/>
      <c r="E43" s="67">
        <f>SUM(E3:E42)</f>
        <v>1951076.15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9">
        <f>SUM(Q4:Q42)</f>
        <v>2304170.12</v>
      </c>
      <c r="R43" s="69"/>
      <c r="S43" s="70"/>
      <c r="T43" s="71" t="s">
        <v>46</v>
      </c>
    </row>
    <row r="46" spans="1:20">
      <c r="A46"/>
      <c r="B46"/>
      <c r="C46"/>
    </row>
    <row r="47" spans="1:20">
      <c r="A47"/>
      <c r="B47"/>
      <c r="C47"/>
    </row>
    <row r="48" spans="1:20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  <row r="58" spans="1:3">
      <c r="A58"/>
      <c r="B58"/>
      <c r="C58"/>
    </row>
    <row r="59" spans="1:3">
      <c r="A59"/>
      <c r="B59"/>
      <c r="C59"/>
    </row>
    <row r="60" spans="1:3">
      <c r="A60"/>
      <c r="B60"/>
      <c r="C60"/>
    </row>
    <row r="61" spans="1:3">
      <c r="A61"/>
      <c r="B61"/>
      <c r="C61"/>
    </row>
    <row r="62" spans="1:3">
      <c r="A62"/>
      <c r="B62"/>
      <c r="C62"/>
    </row>
    <row r="63" spans="1:3">
      <c r="A63"/>
      <c r="B63"/>
      <c r="C63"/>
    </row>
    <row r="64" spans="1:3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MAY PAYMENT 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carmel.urot@pimascor.com</dc:creator>
  <cp:lastModifiedBy>PC</cp:lastModifiedBy>
  <dcterms:created xsi:type="dcterms:W3CDTF">2026-07-01T14:32:00Z</dcterms:created>
  <dcterms:modified xsi:type="dcterms:W3CDTF">2026-07-07T05:42:34Z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169891D8EFAC4D98AE93E2B5924A7EAF_13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